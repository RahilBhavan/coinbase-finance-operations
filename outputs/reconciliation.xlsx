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10d96e21d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5f51512d3b4d56"/>
    <x:sheet xmlns:r="http://schemas.openxmlformats.org/officeDocument/2006/relationships" name="Reconciliation" sheetId="2" r:id="Rfd97cf9487254f58"/>
    <x:sheet xmlns:r="http://schemas.openxmlformats.org/officeDocument/2006/relationships" name="Incident Oracle" sheetId="3" r:id="Rc645a317cf744509"/>
    <x:sheet xmlns:r="http://schemas.openxmlformats.org/officeDocument/2006/relationships" name="Policy Results" sheetId="4" r:id="Ra8a13885e2e8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#,##0"/>
  </x:numFmts>
  <x:fonts count="6">
    <x:font>
      <x:sz val="11"/>
      <x:name val="Carlito"/>
    </x:font>
    <x:font>
      <x:b/>
      <x:sz val="16"/>
      <x:color rgb="FF17212B"/>
      <x:name val="Arial"/>
    </x:font>
    <x:font>
      <x:i/>
      <x:sz val="10"/>
      <x:color rgb="FF4E6475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E8F1F8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e14426ed3469e" /><Relationship Type="http://schemas.openxmlformats.org/officeDocument/2006/relationships/theme" Target="/xl/theme/theme1.xml" Id="R85f939bffe584eb8" /><Relationship Type="http://schemas.openxmlformats.org/officeDocument/2006/relationships/sharedStrings" Target="/xl/sharedStrings.xml" Id="R31f0ecb60fc54363" /><Relationship Type="http://schemas.openxmlformats.org/officeDocument/2006/relationships/worksheet" Target="/xl/worksheets/sheet1.xml" Id="R645f51512d3b4d56" /><Relationship Type="http://schemas.openxmlformats.org/officeDocument/2006/relationships/worksheet" Target="/xl/worksheets/sheet2.xml" Id="Rfd97cf9487254f58" /><Relationship Type="http://schemas.openxmlformats.org/officeDocument/2006/relationships/worksheet" Target="/xl/worksheets/sheet3.xml" Id="Rc645a317cf744509" /><Relationship Type="http://schemas.openxmlformats.org/officeDocument/2006/relationships/worksheet" Target="/xl/worksheets/sheet4.xml" Id="Ra8a13885e2e846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" hidden="0" customWidth="1"/>
    <x:col min="4" max="4" width="32" hidden="0" customWidth="1"/>
    <x:col min="5" max="5" width="18" hidden="0" customWidth="1"/>
    <x:col min="6" max="6" width="18" hidden="0" customWidth="1"/>
  </x:cols>
  <x:sheetData>
    <x:row r="1">
      <x:c r="A1" s="18"/>
      <x:c r="B1" s="18"/>
      <x:c r="C1" s="18"/>
      <x:c r="D1" s="18"/>
      <x:c r="E1" s="18"/>
      <x:c r="F1" s="18"/>
    </x:row>
    <x:row r="2">
      <x:c r="A2" s="1" t="str">
        <x:v>Settlement exception reconciliation</x:v>
      </x:c>
      <x:c r="B2" s="1"/>
      <x:c r="C2" s="1"/>
      <x:c r="D2" s="1"/>
      <x:c r="E2" s="1"/>
      <x:c r="F2" s="1"/>
    </x:row>
    <x:row r="3">
      <x:c r="A3" s="2" t="str">
        <x:v>Synthetic fixed-price x402 incidents | Prepared 2026-09-20</x:v>
      </x:c>
      <x:c r="B3" s="2"/>
      <x:c r="C3" s="2"/>
      <x:c r="D3" s="2"/>
      <x:c r="E3" s="2"/>
      <x:c r="F3" s="2"/>
    </x:row>
    <x:row r="5">
      <x:c r="A5" s="8" t="str">
        <x:v>Decision</x:v>
      </x:c>
      <x:c r="B5" s="9" t="str">
        <x:v>Retain FIFO for the initial scenario</x:v>
      </x:c>
      <x:c r="D5" s="11" t="str">
        <x:v>Metric</x:v>
      </x:c>
      <x:c r="E5" s="11" t="str">
        <x:v>FIFO</x:v>
      </x:c>
      <x:c r="F5" s="11" t="str">
        <x:v>Deadline-first</x:v>
      </x:c>
    </x:row>
    <x:row r="6">
      <x:c r="A6" s="8" t="str">
        <x:v>Reason</x:v>
      </x:c>
      <x:c r="B6" s="9" t="str">
        <x:v>Deadline-first did not reduce overdue case count</x:v>
      </x:c>
      <x:c r="D6" s="12" t="str">
        <x:v>Overdue cases</x:v>
      </x:c>
      <x:c r="E6" s="13" t="n">
        <x:v>6</x:v>
      </x:c>
      <x:c r="F6" s="13" t="n">
        <x:v>6</x:v>
      </x:c>
    </x:row>
    <x:row r="7">
      <x:c r="A7" s="8" t="str">
        <x:v>Fixture cases</x:v>
      </x:c>
      <x:c r="B7" s="9" t="n">
        <x:v>16</x:v>
      </x:c>
      <x:c r="D7" s="12" t="str">
        <x:v>Median delay (min)</x:v>
      </x:c>
      <x:c r="E7" s="13" t="n">
        <x:v>66.05000000074506</x:v>
      </x:c>
      <x:c r="F7" s="13" t="n">
        <x:v>55.05000000074506</x:v>
      </x:c>
    </x:row>
    <x:row r="8">
      <x:c r="A8" s="8" t="str">
        <x:v>Events</x:v>
      </x:c>
      <x:c r="B8" s="9" t="n">
        <x:v>65</x:v>
      </x:c>
      <x:c r="D8" s="12" t="str">
        <x:v>P95 delay (min)</x:v>
      </x:c>
      <x:c r="E8" s="13" t="n">
        <x:v>107.05000000074506</x:v>
      </x:c>
      <x:c r="F8" s="13" t="n">
        <x:v>107.05000000074506</x:v>
      </x:c>
    </x:row>
    <x:row r="9">
      <x:c r="A9" s="8" t="str">
        <x:v>Control failures</x:v>
      </x:c>
      <x:c r="B9" s="9" t="n">
        <x:v>0</x:v>
      </x:c>
      <x:c r="D9" s="12" t="str">
        <x:v>Value-weighted overdue (USDC-minutes)</x:v>
      </x:c>
      <x:c r="E9" s="13" t="n">
        <x:v>4428.90000011772</x:v>
      </x:c>
      <x:c r="F9" s="13" t="n">
        <x:v>1582.2000001072884</x:v>
      </x:c>
    </x:row>
    <x:row r="10">
      <x:c r="D10" s="12" t="str">
        <x:v>Unfinished cases</x:v>
      </x:c>
      <x:c r="E10" s="13" t="n">
        <x:v>0</x:v>
      </x:c>
      <x:c r="F10" s="13" t="n">
        <x:v>0</x:v>
      </x:c>
    </x:row>
    <x:row r="12">
      <x:c r="A12" s="17" t="str">
        <x:v>Interpretation: this scenario does not meet the predeclared 15% overdue-count improvement gate. Handling times and incident frequencies are simulated, so results do not establish operational savings or Coinbase policy.</x:v>
      </x:c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</x:sheetData>
  <x:mergeCells>
    <x:mergeCell ref="A2:F2"/>
    <x:mergeCell ref="A3:F3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1" hidden="0" customWidth="1"/>
  </x:cols>
  <x:sheetData>
    <x:row r="1">
      <x:c r="A1" s="18"/>
      <x:c r="B1" s="18"/>
      <x:c r="C1" s="18"/>
      <x:c r="D1" s="18"/>
      <x:c r="E1" s="18"/>
      <x:c r="F1" s="18"/>
    </x:row>
    <x:row r="2">
      <x:c r="A2" s="21" t="str">
        <x:v>Fixture ID</x:v>
      </x:c>
      <x:c r="B2" s="21" t="str">
        <x:v>Captured (atomic)</x:v>
      </x:c>
      <x:c r="C2" s="21" t="str">
        <x:v>Reserved refund (atomic)</x:v>
      </x:c>
      <x:c r="D2" s="21" t="str">
        <x:v>Completed refund (atomic)</x:v>
      </x:c>
      <x:c r="E2" s="21" t="str">
        <x:v>Available refundable (atomic)</x:v>
      </x:c>
      <x:c r="F2" s="21" t="str">
        <x:v>Check</x:v>
      </x:c>
    </x:row>
    <x:row r="3">
      <x:c r="A3" s="12" t="str">
        <x:v>hp-01</x:v>
      </x:c>
      <x:c r="B3" s="22" t="n">
        <x:v>12500000</x:v>
      </x:c>
      <x:c r="C3" s="22" t="n">
        <x:v>0</x:v>
      </x:c>
      <x:c r="D3" s="22" t="n">
        <x:v>0</x:v>
      </x:c>
      <x:c r="E3" s="22" t="n">
        <x:f>B3-C3-D3</x:f>
        <x:v>12500000</x:v>
      </x:c>
      <x:c r="F3" s="12" t="str">
        <x:f>IF(E3&lt;0,"FAIL","OK")</x:f>
        <x:v>OK</x:v>
      </x:c>
    </x:row>
    <x:row r="4">
      <x:c r="A4" s="12" t="str">
        <x:v>hp-02</x:v>
      </x:c>
      <x:c r="B4" s="22" t="n">
        <x:v>25000000</x:v>
      </x:c>
      <x:c r="C4" s="22" t="n">
        <x:v>0</x:v>
      </x:c>
      <x:c r="D4" s="22" t="n">
        <x:v>0</x:v>
      </x:c>
      <x:c r="E4" s="22" t="n">
        <x:f>B4-C4-D4</x:f>
        <x:v>25000000</x:v>
      </x:c>
      <x:c r="F4" s="12" t="str">
        <x:f>IF(E4&lt;0,"FAIL","OK")</x:f>
        <x:v>OK</x:v>
      </x:c>
    </x:row>
    <x:row r="5">
      <x:c r="A5" s="12" t="str">
        <x:v>hp-03</x:v>
      </x:c>
      <x:c r="B5" s="22" t="n">
        <x:v>5000000</x:v>
      </x:c>
      <x:c r="C5" s="22" t="n">
        <x:v>0</x:v>
      </x:c>
      <x:c r="D5" s="22" t="n">
        <x:v>0</x:v>
      </x:c>
      <x:c r="E5" s="22" t="n">
        <x:f>B5-C5-D5</x:f>
        <x:v>5000000</x:v>
      </x:c>
      <x:c r="F5" s="12" t="str">
        <x:f>IF(E5&lt;0,"FAIL","OK")</x:f>
        <x:v>OK</x:v>
      </x:c>
    </x:row>
    <x:row r="6">
      <x:c r="A6" s="12" t="str">
        <x:v>hp-04</x:v>
      </x:c>
      <x:c r="B6" s="22" t="n">
        <x:v>100000000</x:v>
      </x:c>
      <x:c r="C6" s="22" t="n">
        <x:v>0</x:v>
      </x:c>
      <x:c r="D6" s="22" t="n">
        <x:v>0</x:v>
      </x:c>
      <x:c r="E6" s="22" t="n">
        <x:f>B6-C6-D6</x:f>
        <x:v>100000000</x:v>
      </x:c>
      <x:c r="F6" s="12" t="str">
        <x:f>IF(E6&lt;0,"FAIL","OK")</x:f>
        <x:v>OK</x:v>
      </x:c>
    </x:row>
    <x:row r="7">
      <x:c r="A7" s="12" t="str">
        <x:v>ex-01-authorization-reject</x:v>
      </x:c>
      <x:c r="B7" s="22" t="n">
        <x:v>0</x:v>
      </x:c>
      <x:c r="C7" s="22" t="n">
        <x:v>0</x:v>
      </x:c>
      <x:c r="D7" s="22" t="n">
        <x:v>0</x:v>
      </x:c>
      <x:c r="E7" s="22" t="n">
        <x:f>B7-C7-D7</x:f>
        <x:v>0</x:v>
      </x:c>
      <x:c r="F7" s="12" t="str">
        <x:f>IF(E7&lt;0,"FAIL","OK")</x:f>
        <x:v>OK</x:v>
      </x:c>
    </x:row>
    <x:row r="8">
      <x:c r="A8" s="12" t="str">
        <x:v>ex-02-preparation-failure</x:v>
      </x:c>
      <x:c r="B8" s="22" t="n">
        <x:v>0</x:v>
      </x:c>
      <x:c r="C8" s="22" t="n">
        <x:v>0</x:v>
      </x:c>
      <x:c r="D8" s="22" t="n">
        <x:v>0</x:v>
      </x:c>
      <x:c r="E8" s="22" t="n">
        <x:f>B8-C8-D8</x:f>
        <x:v>0</x:v>
      </x:c>
      <x:c r="F8" s="12" t="str">
        <x:f>IF(E8&lt;0,"FAIL","OK")</x:f>
        <x:v>OK</x:v>
      </x:c>
    </x:row>
    <x:row r="9">
      <x:c r="A9" s="12" t="str">
        <x:v>ex-03-timeout-late-success</x:v>
      </x:c>
      <x:c r="B9" s="22" t="n">
        <x:v>30000000</x:v>
      </x:c>
      <x:c r="C9" s="22" t="n">
        <x:v>0</x:v>
      </x:c>
      <x:c r="D9" s="22" t="n">
        <x:v>0</x:v>
      </x:c>
      <x:c r="E9" s="22" t="n">
        <x:f>B9-C9-D9</x:f>
        <x:v>30000000</x:v>
      </x:c>
      <x:c r="F9" s="12" t="str">
        <x:f>IF(E9&lt;0,"FAIL","OK")</x:f>
        <x:v>OK</x:v>
      </x:c>
    </x:row>
    <x:row r="10">
      <x:c r="A10" s="12" t="str">
        <x:v>ex-04-conclusive-failure</x:v>
      </x:c>
      <x:c r="B10" s="22" t="n">
        <x:v>0</x:v>
      </x:c>
      <x:c r="C10" s="22" t="n">
        <x:v>0</x:v>
      </x:c>
      <x:c r="D10" s="22" t="n">
        <x:v>0</x:v>
      </x:c>
      <x:c r="E10" s="22" t="n">
        <x:f>B10-C10-D10</x:f>
        <x:v>0</x:v>
      </x:c>
      <x:c r="F10" s="12" t="str">
        <x:f>IF(E10&lt;0,"FAIL","OK")</x:f>
        <x:v>OK</x:v>
      </x:c>
    </x:row>
    <x:row r="11">
      <x:c r="A11" s="12" t="str">
        <x:v>ex-05-paid-lost-delivery</x:v>
      </x:c>
      <x:c r="B11" s="22" t="n">
        <x:v>45000000</x:v>
      </x:c>
      <x:c r="C11" s="22" t="n">
        <x:v>0</x:v>
      </x:c>
      <x:c r="D11" s="22" t="n">
        <x:v>0</x:v>
      </x:c>
      <x:c r="E11" s="22" t="n">
        <x:f>B11-C11-D11</x:f>
        <x:v>45000000</x:v>
      </x:c>
      <x:c r="F11" s="12" t="str">
        <x:f>IF(E11&lt;0,"FAIL","OK")</x:f>
        <x:v>OK</x:v>
      </x:c>
    </x:row>
    <x:row r="12">
      <x:c r="A12" s="12" t="str">
        <x:v>ex-06-repeated-across-restart</x:v>
      </x:c>
      <x:c r="B12" s="22" t="n">
        <x:v>9000000</x:v>
      </x:c>
      <x:c r="C12" s="22" t="n">
        <x:v>0</x:v>
      </x:c>
      <x:c r="D12" s="22" t="n">
        <x:v>0</x:v>
      </x:c>
      <x:c r="E12" s="22" t="n">
        <x:f>B12-C12-D12</x:f>
        <x:v>9000000</x:v>
      </x:c>
      <x:c r="F12" s="12" t="str">
        <x:f>IF(E12&lt;0,"FAIL","OK")</x:f>
        <x:v>OK</x:v>
      </x:c>
    </x:row>
    <x:row r="13">
      <x:c r="A13" s="12" t="str">
        <x:v>ex-07-duplicate-request</x:v>
      </x:c>
      <x:c r="B13" s="22" t="n">
        <x:v>18000000</x:v>
      </x:c>
      <x:c r="C13" s="22" t="n">
        <x:v>0</x:v>
      </x:c>
      <x:c r="D13" s="22" t="n">
        <x:v>0</x:v>
      </x:c>
      <x:c r="E13" s="22" t="n">
        <x:f>B13-C13-D13</x:f>
        <x:v>18000000</x:v>
      </x:c>
      <x:c r="F13" s="12" t="str">
        <x:f>IF(E13&lt;0,"FAIL","OK")</x:f>
        <x:v>OK</x:v>
      </x:c>
    </x:row>
    <x:row r="14">
      <x:c r="A14" s="12" t="str">
        <x:v>ex-08-second-authorization</x:v>
      </x:c>
      <x:c r="B14" s="22" t="n">
        <x:v>22000000</x:v>
      </x:c>
      <x:c r="C14" s="22" t="n">
        <x:v>0</x:v>
      </x:c>
      <x:c r="D14" s="22" t="n">
        <x:v>0</x:v>
      </x:c>
      <x:c r="E14" s="22" t="n">
        <x:f>B14-C14-D14</x:f>
        <x:v>22000000</x:v>
      </x:c>
      <x:c r="F14" s="12" t="str">
        <x:f>IF(E14&lt;0,"FAIL","OK")</x:f>
        <x:v>OK</x:v>
      </x:c>
    </x:row>
    <x:row r="15">
      <x:c r="A15" s="12" t="str">
        <x:v>ex-09-evidence-mismatch</x:v>
      </x:c>
      <x:c r="B15" s="22" t="n">
        <x:v>0</x:v>
      </x:c>
      <x:c r="C15" s="22" t="n">
        <x:v>0</x:v>
      </x:c>
      <x:c r="D15" s="22" t="n">
        <x:v>0</x:v>
      </x:c>
      <x:c r="E15" s="22" t="n">
        <x:f>B15-C15-D15</x:f>
        <x:v>0</x:v>
      </x:c>
      <x:c r="F15" s="12" t="str">
        <x:f>IF(E15&lt;0,"FAIL","OK")</x:f>
        <x:v>OK</x:v>
      </x:c>
    </x:row>
    <x:row r="16">
      <x:c r="A16" s="12" t="str">
        <x:v>ex-10-cross-order-evidence-reuse</x:v>
      </x:c>
      <x:c r="B16" s="22" t="n">
        <x:v>20000000</x:v>
      </x:c>
      <x:c r="C16" s="22" t="n">
        <x:v>0</x:v>
      </x:c>
      <x:c r="D16" s="22" t="n">
        <x:v>0</x:v>
      </x:c>
      <x:c r="E16" s="22" t="n">
        <x:f>B16-C16-D16</x:f>
        <x:v>20000000</x:v>
      </x:c>
      <x:c r="F16" s="12" t="str">
        <x:f>IF(E16&lt;0,"FAIL","OK")</x:f>
        <x:v>OK</x:v>
      </x:c>
    </x:row>
    <x:row r="17">
      <x:c r="A17" s="12" t="str">
        <x:v>ex-11-prefinality-invalidated</x:v>
      </x:c>
      <x:c r="B17" s="22" t="n">
        <x:v>0</x:v>
      </x:c>
      <x:c r="C17" s="22" t="n">
        <x:v>0</x:v>
      </x:c>
      <x:c r="D17" s="22" t="n">
        <x:v>0</x:v>
      </x:c>
      <x:c r="E17" s="22" t="n">
        <x:f>B17-C17-D17</x:f>
        <x:v>0</x:v>
      </x:c>
      <x:c r="F17" s="12" t="str">
        <x:f>IF(E17&lt;0,"FAIL","OK")</x:f>
        <x:v>OK</x:v>
      </x:c>
    </x:row>
    <x:row r="18">
      <x:c r="A18" s="12" t="str">
        <x:v>ex-12-concurrent-refunds</x:v>
      </x:c>
      <x:c r="B18" s="22" t="n">
        <x:v>100000000</x:v>
      </x:c>
      <x:c r="C18" s="22" t="n">
        <x:v>70000000</x:v>
      </x:c>
      <x:c r="D18" s="22" t="n">
        <x:v>0</x:v>
      </x:c>
      <x:c r="E18" s="22" t="n">
        <x:f>B18-C18-D18</x:f>
        <x:v>30000000</x:v>
      </x:c>
      <x:c r="F18" s="12" t="str">
        <x:f>IF(E18&lt;0,"FAIL","OK")</x:f>
        <x:v>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38" hidden="0" customWidth="1"/>
    <x:col min="4" max="4" width="24" hidden="0" customWidth="1"/>
    <x:col min="5" max="5" width="24" hidden="0" customWidth="1"/>
    <x:col min="6" max="6" width="40" hidden="0" customWidth="1"/>
  </x:cols>
  <x:sheetData>
    <x:row r="1">
      <x:c r="A1" s="18"/>
      <x:c r="B1" s="18"/>
      <x:c r="C1" s="18"/>
      <x:c r="D1" s="18"/>
      <x:c r="E1" s="18"/>
      <x:c r="F1" s="18"/>
    </x:row>
    <x:row r="2" ht="26" customHeight="1">
      <x:c r="A2" s="11" t="str">
        <x:v>Fixture ID</x:v>
      </x:c>
      <x:c r="B2" s="11" t="str">
        <x:v>Category</x:v>
      </x:c>
      <x:c r="C2" s="11" t="str">
        <x:v>Scenario</x:v>
      </x:c>
      <x:c r="D2" s="11" t="str">
        <x:v>Payment state</x:v>
      </x:c>
      <x:c r="E2" s="11" t="str">
        <x:v>Fulfillment state</x:v>
      </x:c>
      <x:c r="F2" s="11" t="str">
        <x:v>Exception</x:v>
      </x:c>
    </x:row>
    <x:row r="3" ht="26" customHeight="1">
      <x:c r="A3" s="12" t="str">
        <x:v>hp-01</x:v>
      </x:c>
      <x:c r="B3" s="12" t="str">
        <x:v>happy_path</x:v>
      </x:c>
      <x:c r="C3" s="23" t="str">
        <x:v>l2_inclusion_and_delivery</x:v>
      </x:c>
      <x:c r="D3" s="23" t="str">
        <x:v>observed</x:v>
      </x:c>
      <x:c r="E3" s="23" t="str">
        <x:v>delivered</x:v>
      </x:c>
      <x:c r="F3" s="23" t="str">
        <x:v>none</x:v>
      </x:c>
    </x:row>
    <x:row r="4" ht="26" customHeight="1">
      <x:c r="A4" s="12" t="str">
        <x:v>hp-02</x:v>
      </x:c>
      <x:c r="B4" s="12" t="str">
        <x:v>happy_path</x:v>
      </x:c>
      <x:c r="C4" s="23" t="str">
        <x:v>l1_finality_and_delivery</x:v>
      </x:c>
      <x:c r="D4" s="23" t="str">
        <x:v>observed</x:v>
      </x:c>
      <x:c r="E4" s="23" t="str">
        <x:v>delivered</x:v>
      </x:c>
      <x:c r="F4" s="23" t="str">
        <x:v>none</x:v>
      </x:c>
    </x:row>
    <x:row r="5" ht="26" customHeight="1">
      <x:c r="A5" s="12" t="str">
        <x:v>hp-03</x:v>
      </x:c>
      <x:c r="B5" s="12" t="str">
        <x:v>happy_path</x:v>
      </x:c>
      <x:c r="C5" s="23" t="str">
        <x:v>small_urgent_order_completed</x:v>
      </x:c>
      <x:c r="D5" s="23" t="str">
        <x:v>observed</x:v>
      </x:c>
      <x:c r="E5" s="23" t="str">
        <x:v>delivered</x:v>
      </x:c>
      <x:c r="F5" s="23" t="str">
        <x:v>none</x:v>
      </x:c>
    </x:row>
    <x:row r="6" ht="26" customHeight="1">
      <x:c r="A6" s="12" t="str">
        <x:v>hp-04</x:v>
      </x:c>
      <x:c r="B6" s="12" t="str">
        <x:v>happy_path</x:v>
      </x:c>
      <x:c r="C6" s="23" t="str">
        <x:v>large_order_completed</x:v>
      </x:c>
      <x:c r="D6" s="23" t="str">
        <x:v>observed</x:v>
      </x:c>
      <x:c r="E6" s="23" t="str">
        <x:v>delivered</x:v>
      </x:c>
      <x:c r="F6" s="23" t="str">
        <x:v>none</x:v>
      </x:c>
    </x:row>
    <x:row r="7" ht="26" customHeight="1">
      <x:c r="A7" s="12" t="str">
        <x:v>ex-01-authorization-reject</x:v>
      </x:c>
      <x:c r="B7" s="12" t="str">
        <x:v>exception</x:v>
      </x:c>
      <x:c r="C7" s="23" t="str">
        <x:v>authorization_reject</x:v>
      </x:c>
      <x:c r="D7" s="23" t="str">
        <x:v>not_submitted</x:v>
      </x:c>
      <x:c r="E7" s="23" t="str">
        <x:v>not_started</x:v>
      </x:c>
      <x:c r="F7" s="23" t="str">
        <x:v>authorization_rejected</x:v>
      </x:c>
    </x:row>
    <x:row r="8" ht="26" customHeight="1">
      <x:c r="A8" s="12" t="str">
        <x:v>ex-02-preparation-failure</x:v>
      </x:c>
      <x:c r="B8" s="12" t="str">
        <x:v>exception</x:v>
      </x:c>
      <x:c r="C8" s="23" t="str">
        <x:v>preparation_failure</x:v>
      </x:c>
      <x:c r="D8" s="23" t="str">
        <x:v>not_submitted</x:v>
      </x:c>
      <x:c r="E8" s="23" t="str">
        <x:v>preparation_failed</x:v>
      </x:c>
      <x:c r="F8" s="23" t="str">
        <x:v>resource_preparation_failed</x:v>
      </x:c>
    </x:row>
    <x:row r="9" ht="26" customHeight="1">
      <x:c r="A9" s="12" t="str">
        <x:v>ex-03-timeout-late-success</x:v>
      </x:c>
      <x:c r="B9" s="12" t="str">
        <x:v>exception</x:v>
      </x:c>
      <x:c r="C9" s="23" t="str">
        <x:v>timeout_then_late_success</x:v>
      </x:c>
      <x:c r="D9" s="23" t="str">
        <x:v>observed</x:v>
      </x:c>
      <x:c r="E9" s="23" t="str">
        <x:v>prepared</x:v>
      </x:c>
      <x:c r="F9" s="23" t="str">
        <x:v>delivery_pending_after_late_settlement</x:v>
      </x:c>
    </x:row>
    <x:row r="10" ht="26" customHeight="1">
      <x:c r="A10" s="12" t="str">
        <x:v>ex-04-conclusive-failure</x:v>
      </x:c>
      <x:c r="B10" s="12" t="str">
        <x:v>exception</x:v>
      </x:c>
      <x:c r="C10" s="23" t="str">
        <x:v>conclusive_settlement_failure</x:v>
      </x:c>
      <x:c r="D10" s="23" t="str">
        <x:v>failed</x:v>
      </x:c>
      <x:c r="E10" s="23" t="str">
        <x:v>prepared</x:v>
      </x:c>
      <x:c r="F10" s="23" t="str">
        <x:v>settlement_failed</x:v>
      </x:c>
    </x:row>
    <x:row r="11" ht="26" customHeight="1">
      <x:c r="A11" s="12" t="str">
        <x:v>ex-05-paid-lost-delivery</x:v>
      </x:c>
      <x:c r="B11" s="12" t="str">
        <x:v>exception</x:v>
      </x:c>
      <x:c r="C11" s="23" t="str">
        <x:v>paid_lost_delivery</x:v>
      </x:c>
      <x:c r="D11" s="23" t="str">
        <x:v>observed</x:v>
      </x:c>
      <x:c r="E11" s="23" t="str">
        <x:v>delivery_failed</x:v>
      </x:c>
      <x:c r="F11" s="23" t="str">
        <x:v>paid_delivery_failed</x:v>
      </x:c>
    </x:row>
    <x:row r="12" ht="26" customHeight="1">
      <x:c r="A12" s="12" t="str">
        <x:v>ex-06-repeated-across-restart</x:v>
      </x:c>
      <x:c r="B12" s="12" t="str">
        <x:v>exception</x:v>
      </x:c>
      <x:c r="C12" s="23" t="str">
        <x:v>repeated_event_across_restart</x:v>
      </x:c>
      <x:c r="D12" s="23" t="str">
        <x:v>observed</x:v>
      </x:c>
      <x:c r="E12" s="23" t="str">
        <x:v>prepared</x:v>
      </x:c>
      <x:c r="F12" s="23" t="str">
        <x:v>delivery_pending</x:v>
      </x:c>
    </x:row>
    <x:row r="13" ht="26" customHeight="1">
      <x:c r="A13" s="12" t="str">
        <x:v>ex-07-duplicate-request</x:v>
      </x:c>
      <x:c r="B13" s="12" t="str">
        <x:v>exception</x:v>
      </x:c>
      <x:c r="C13" s="23" t="str">
        <x:v>duplicate_request</x:v>
      </x:c>
      <x:c r="D13" s="23" t="str">
        <x:v>observed</x:v>
      </x:c>
      <x:c r="E13" s="23" t="str">
        <x:v>delivered</x:v>
      </x:c>
      <x:c r="F13" s="23" t="str">
        <x:v>duplicate_request_suppressed</x:v>
      </x:c>
    </x:row>
    <x:row r="14" ht="26" customHeight="1">
      <x:c r="A14" s="12" t="str">
        <x:v>ex-08-second-authorization</x:v>
      </x:c>
      <x:c r="B14" s="12" t="str">
        <x:v>exception</x:v>
      </x:c>
      <x:c r="C14" s="23" t="str">
        <x:v>second_authorization_for_paid_order</x:v>
      </x:c>
      <x:c r="D14" s="23" t="str">
        <x:v>observed</x:v>
      </x:c>
      <x:c r="E14" s="23" t="str">
        <x:v>not_started</x:v>
      </x:c>
      <x:c r="F14" s="23" t="str">
        <x:v>redundant_authorization_blocked</x:v>
      </x:c>
    </x:row>
    <x:row r="15" ht="26" customHeight="1">
      <x:c r="A15" s="12" t="str">
        <x:v>ex-09-evidence-mismatch</x:v>
      </x:c>
      <x:c r="B15" s="12" t="str">
        <x:v>exception</x:v>
      </x:c>
      <x:c r="C15" s="23" t="str">
        <x:v>amount_asset_recipient_network_mismatch</x:v>
      </x:c>
      <x:c r="D15" s="23" t="str">
        <x:v>unknown</x:v>
      </x:c>
      <x:c r="E15" s="23" t="str">
        <x:v>not_started</x:v>
      </x:c>
      <x:c r="F15" s="23" t="str">
        <x:v>payment_evidence_mismatch</x:v>
      </x:c>
    </x:row>
    <x:row r="16" ht="26" customHeight="1">
      <x:c r="A16" s="12" t="str">
        <x:v>ex-10-cross-order-evidence-reuse</x:v>
      </x:c>
      <x:c r="B16" s="12" t="str">
        <x:v>exception</x:v>
      </x:c>
      <x:c r="C16" s="23" t="str">
        <x:v>payment_evidence_reused_across_orders</x:v>
      </x:c>
      <x:c r="D16" s="23" t="str">
        <x:v>conflicted</x:v>
      </x:c>
      <x:c r="E16" s="23" t="str">
        <x:v>not_started</x:v>
      </x:c>
      <x:c r="F16" s="23" t="str">
        <x:v>cross_order_payment_claim_conflict</x:v>
      </x:c>
    </x:row>
    <x:row r="17" ht="26" customHeight="1">
      <x:c r="A17" s="12" t="str">
        <x:v>ex-11-prefinality-invalidated</x:v>
      </x:c>
      <x:c r="B17" s="12" t="str">
        <x:v>exception</x:v>
      </x:c>
      <x:c r="C17" s="23" t="str">
        <x:v>prefinality_observation_invalidated</x:v>
      </x:c>
      <x:c r="D17" s="23" t="str">
        <x:v>unknown</x:v>
      </x:c>
      <x:c r="E17" s="23" t="str">
        <x:v>prepared</x:v>
      </x:c>
      <x:c r="F17" s="23" t="str">
        <x:v>payment_observation_invalidated</x:v>
      </x:c>
    </x:row>
    <x:row r="18" ht="26" customHeight="1">
      <x:c r="A18" s="12" t="str">
        <x:v>ex-12-concurrent-refunds</x:v>
      </x:c>
      <x:c r="B18" s="12" t="str">
        <x:v>exception</x:v>
      </x:c>
      <x:c r="C18" s="23" t="str">
        <x:v>concurrent_refund_approvals_unknown_outcome</x:v>
      </x:c>
      <x:c r="D18" s="23" t="str">
        <x:v>observed</x:v>
      </x:c>
      <x:c r="E18" s="23" t="str">
        <x:v>not_started</x:v>
      </x:c>
      <x:c r="F18" s="23" t="str">
        <x:v>refund_outcome_unknown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8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21" t="str">
        <x:v>Policy</x:v>
      </x:c>
      <x:c r="B2" s="21" t="str">
        <x:v>Overdue</x:v>
      </x:c>
      <x:c r="C2" s="21" t="str">
        <x:v>Median delay</x:v>
      </x:c>
      <x:c r="D2" s="21" t="str">
        <x:v>P95 delay</x:v>
      </x:c>
      <x:c r="E2" s="21" t="str">
        <x:v>Weighted overdue (USDC-minutes)</x:v>
      </x:c>
      <x:c r="F2" s="21" t="str">
        <x:v>Unfinished</x:v>
      </x:c>
      <x:c r="G2" s="21" t="str">
        <x:v>Unfinished value</x:v>
      </x:c>
      <x:c r="H2" s="21" t="str">
        <x:v>Touches</x:v>
      </x:c>
      <x:c r="I2" s="21" t="str">
        <x:v>Control failures</x:v>
      </x:c>
      <x:c r="J2" s="21" t="str">
        <x:v>Workload hash</x:v>
      </x:c>
    </x:row>
    <x:row r="3">
      <x:c r="A3" s="12" t="str">
        <x:v>fifo</x:v>
      </x:c>
      <x:c r="B3" s="12" t="n">
        <x:v>6</x:v>
      </x:c>
      <x:c r="C3" s="13" t="n">
        <x:v>66.05000000074506</x:v>
      </x:c>
      <x:c r="D3" s="13" t="n">
        <x:v>107.05000000074506</x:v>
      </x:c>
      <x:c r="E3" s="13" t="n">
        <x:v>4428.90000011772</x:v>
      </x:c>
      <x:c r="F3" s="12" t="n">
        <x:v>0</x:v>
      </x:c>
      <x:c r="G3" s="12" t="n">
        <x:v>0</x:v>
      </x:c>
      <x:c r="H3" s="12" t="n">
        <x:v>9</x:v>
      </x:c>
      <x:c r="I3" s="12" t="n">
        <x:v>0</x:v>
      </x:c>
      <x:c r="J3" s="12" t="str">
        <x:v>6d61d20762da8a315b2e9762d0d71d844b9dca5aa796f8f430c16b1fd23c956a</x:v>
      </x:c>
    </x:row>
    <x:row r="4">
      <x:c r="A4" s="12" t="str">
        <x:v>deadline_first</x:v>
      </x:c>
      <x:c r="B4" s="12" t="n">
        <x:v>6</x:v>
      </x:c>
      <x:c r="C4" s="13" t="n">
        <x:v>55.05000000074506</x:v>
      </x:c>
      <x:c r="D4" s="13" t="n">
        <x:v>107.05000000074506</x:v>
      </x:c>
      <x:c r="E4" s="13" t="n">
        <x:v>1582.2000001072884</x:v>
      </x:c>
      <x:c r="F4" s="12" t="n">
        <x:v>0</x:v>
      </x:c>
      <x:c r="G4" s="12" t="n">
        <x:v>0</x:v>
      </x:c>
      <x:c r="H4" s="12" t="n">
        <x:v>9</x:v>
      </x:c>
      <x:c r="I4" s="12" t="n">
        <x:v>0</x:v>
      </x:c>
      <x:c r="J4" s="12" t="str">
        <x:v>6d61d20762da8a315b2e9762d0d71d844b9dca5aa796f8f430c16b1fd23c956a</x:v>
      </x:c>
    </x:row>
    <x:row r="5">
      <x:c r="A5" s="12" t="str">
        <x:v>value_first</x:v>
      </x:c>
      <x:c r="B5" s="12" t="n">
        <x:v>4</x:v>
      </x:c>
      <x:c r="C5" s="13" t="n">
        <x:v>47.05000000074506</x:v>
      </x:c>
      <x:c r="D5" s="13" t="n">
        <x:v>137.05000000074506</x:v>
      </x:c>
      <x:c r="E5" s="13" t="n">
        <x:v>1371.9000000581145</x:v>
      </x:c>
      <x:c r="F5" s="12" t="n">
        <x:v>0</x:v>
      </x:c>
      <x:c r="G5" s="12" t="n">
        <x:v>0</x:v>
      </x:c>
      <x:c r="H5" s="12" t="n">
        <x:v>9</x:v>
      </x:c>
      <x:c r="I5" s="12" t="n">
        <x:v>0</x:v>
      </x:c>
      <x:c r="J5" s="12" t="str">
        <x:v>6d61d20762da8a315b2e9762d0d71d844b9dca5aa796f8f430c16b1fd23c956a</x:v>
      </x:c>
    </x:row>
    <x:row r="6">
      <x:c r="A6" s="12" t="str">
        <x:v>hybrid</x:v>
      </x:c>
      <x:c r="B6" s="12" t="n">
        <x:v>4</x:v>
      </x:c>
      <x:c r="C6" s="13" t="n">
        <x:v>77.05000000074506</x:v>
      </x:c>
      <x:c r="D6" s="13" t="n">
        <x:v>127.05000000074506</x:v>
      </x:c>
      <x:c r="E6" s="13" t="n">
        <x:v>982.1000000610948</x:v>
      </x:c>
      <x:c r="F6" s="12" t="n">
        <x:v>0</x:v>
      </x:c>
      <x:c r="G6" s="12" t="n">
        <x:v>0</x:v>
      </x:c>
      <x:c r="H6" s="12" t="n">
        <x:v>9</x:v>
      </x:c>
      <x:c r="I6" s="12" t="n">
        <x:v>0</x:v>
      </x:c>
      <x:c r="J6" s="12" t="str">
        <x:v>6d61d20762da8a315b2e9762d0d71d844b9dca5aa796f8f430c16b1fd23c956a</x:v>
      </x:c>
    </x:row>
  </x:sheetData>
  <x:pageMargins left="0.7" right="0.7" top="0.75" bottom="0.75" header="0.3" footer="0.3"/>
</x:worksheet>
</file>